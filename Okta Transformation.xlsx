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mcmahon/Desktop/"/>
    </mc:Choice>
  </mc:AlternateContent>
  <xr:revisionPtr revIDLastSave="0" documentId="13_ncr:1_{8877B13E-3650-7545-A2C6-E2890FE93DDD}" xr6:coauthVersionLast="47" xr6:coauthVersionMax="47" xr10:uidLastSave="{00000000-0000-0000-0000-000000000000}"/>
  <bookViews>
    <workbookView xWindow="660" yWindow="680" windowWidth="28040" windowHeight="17140" activeTab="1" xr2:uid="{0260D1E1-8F9F-5942-84AD-AFD16CAB2078}"/>
  </bookViews>
  <sheets>
    <sheet name="Company Performance" sheetId="1" r:id="rId1"/>
    <sheet name="Business Drivers " sheetId="2" r:id="rId2"/>
    <sheet name="Operational Metric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3" l="1"/>
  <c r="C12" i="3"/>
  <c r="B12" i="3"/>
  <c r="D16" i="3"/>
  <c r="C16" i="3"/>
  <c r="B16" i="3"/>
  <c r="D11" i="3"/>
  <c r="C11" i="3"/>
  <c r="D29" i="1"/>
  <c r="C29" i="1"/>
  <c r="B29" i="1"/>
  <c r="D28" i="1"/>
  <c r="C28" i="1"/>
  <c r="B28" i="1"/>
  <c r="D27" i="1"/>
  <c r="C27" i="1"/>
  <c r="B27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</calcChain>
</file>

<file path=xl/sharedStrings.xml><?xml version="1.0" encoding="utf-8"?>
<sst xmlns="http://schemas.openxmlformats.org/spreadsheetml/2006/main" count="89" uniqueCount="74">
  <si>
    <t>Metric ($M)</t>
  </si>
  <si>
    <t>FY2024</t>
  </si>
  <si>
    <t>FY2025</t>
  </si>
  <si>
    <t>FY2026</t>
  </si>
  <si>
    <t>Total Revenue</t>
  </si>
  <si>
    <t>Subscription Revenue</t>
  </si>
  <si>
    <t>Gross Profit</t>
  </si>
  <si>
    <t>Total Operating Expenses</t>
  </si>
  <si>
    <t>Operating Income (Loss)</t>
  </si>
  <si>
    <t>Professional Services &amp; Other</t>
  </si>
  <si>
    <t>Total Cost of Revenue</t>
  </si>
  <si>
    <t>R&amp;D</t>
  </si>
  <si>
    <t>Sales &amp; Marketing</t>
  </si>
  <si>
    <t>G&amp;A</t>
  </si>
  <si>
    <t>Restructuring &amp; Other</t>
  </si>
  <si>
    <t>Net Income (Loss)</t>
  </si>
  <si>
    <t>Calculated Metric</t>
  </si>
  <si>
    <t>Revenue Growth %</t>
  </si>
  <si>
    <t>Gross Margin %</t>
  </si>
  <si>
    <t>Operating Margin %</t>
  </si>
  <si>
    <t>Operating Expense % of Revenue</t>
  </si>
  <si>
    <t>Net Margin %</t>
  </si>
  <si>
    <t>Expense Metric</t>
  </si>
  <si>
    <t>R&amp;D % of Revenue</t>
  </si>
  <si>
    <t>Sales &amp; Marketing % of Revenue</t>
  </si>
  <si>
    <t>G&amp;A % of Revenue</t>
  </si>
  <si>
    <t>Business Driver</t>
  </si>
  <si>
    <t>Evidence</t>
  </si>
  <si>
    <t>Why It Matters</t>
  </si>
  <si>
    <t>Consulting Implication</t>
  </si>
  <si>
    <t>Revenue Growth</t>
  </si>
  <si>
    <t>FY26 revenue increased 12% to $2.919B</t>
  </si>
  <si>
    <t>Business continues to scale</t>
  </si>
  <si>
    <t>Operating model must support growth without proportional cost growth</t>
  </si>
  <si>
    <t>Customer Expansion</t>
  </si>
  <si>
    <t>Growth came from new customers plus additional solutions sold to existing customers; DBNRR was 106%</t>
  </si>
  <si>
    <t>Growth depends on both acquisition and expansion</t>
  </si>
  <si>
    <t>Cross-functional coordination across sales, product and customer success becomes important</t>
  </si>
  <si>
    <t>Improved Cost Efficiency</t>
  </si>
  <si>
    <t>Operating expenses declined from 97% of revenue in FY24 to 72% in FY26</t>
  </si>
  <si>
    <t>Okta is demonstrating operating leverage</t>
  </si>
  <si>
    <t>Opportunity shifts from aggressive cost cutting toward sustaining efficiency</t>
  </si>
  <si>
    <t>Partner Ecosystem Shift</t>
  </si>
  <si>
    <t>Okta expects professional-services revenue to decline as more engagements shift to partners beginning FY27</t>
  </si>
  <si>
    <t>Work is moving outside the organization</t>
  </si>
  <si>
    <t>Requires clear partner governance, accountability and service-delivery standards</t>
  </si>
  <si>
    <t>Organizational Restructuring</t>
  </si>
  <si>
    <t>Restructuring charges declined from $56M in FY24 to $4M in FY26</t>
  </si>
  <si>
    <t>Okta has already undergone organizational changes</t>
  </si>
  <si>
    <t>Future-state operating model should institutionalize efficiency gains rather than rely on recurring restructuring</t>
  </si>
  <si>
    <t>Metric</t>
  </si>
  <si>
    <t>Employees</t>
  </si>
  <si>
    <t>Total Customers</t>
  </si>
  <si>
    <t>20,000+</t>
  </si>
  <si>
    <t>Customers &gt;$100K ACV</t>
  </si>
  <si>
    <t>International Employees</t>
  </si>
  <si>
    <t>U.S. Employees</t>
  </si>
  <si>
    <t>Integrations</t>
  </si>
  <si>
    <t>7,000+</t>
  </si>
  <si>
    <t>Employee Growth</t>
  </si>
  <si>
    <t>Revenue per Employee ($M)</t>
  </si>
  <si>
    <t>Large Customer %</t>
  </si>
  <si>
    <t>Workforce Growth Resumed</t>
  </si>
  <si>
    <t>Employees increased from 5,914 to 6,366 in FY26</t>
  </si>
  <si>
    <t>Okta is adding organizational capacity again</t>
  </si>
  <si>
    <t>Growth creates a need to preserve productivity and prevent organizational complexity</t>
  </si>
  <si>
    <t>Workforce Globalization</t>
  </si>
  <si>
    <t>International workforce increased from 33% to 44% of employees between FY24–FY26</t>
  </si>
  <si>
    <t>Organization is becoming increasingly global</t>
  </si>
  <si>
    <t>Governance, processes and decision rights must work across geographies</t>
  </si>
  <si>
    <t>Enterprise Customer Growth</t>
  </si>
  <si>
    <t>Customers &gt;$100K ACV increased from 4,485 to 5,100</t>
  </si>
  <si>
    <t>Larger customers create greater revenue opportunity but potentially greater service complexity</t>
  </si>
  <si>
    <t>Operating model must support increasingly complex enterprise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</si>
</sst>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0.0%"/>
    <numFmt numFmtId="169" formatCode="_(&quot;$&quot;* #,##0.000_);_(&quot;$&quot;* \(#,##0.0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68" fontId="0" fillId="0" borderId="0" xfId="2" applyNumberFormat="1" applyFo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9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C10B-F704-7141-925A-FD9A31645250}">
  <dimension ref="A1:D29"/>
  <sheetViews>
    <sheetView workbookViewId="0">
      <selection activeCell="B4" sqref="B4"/>
    </sheetView>
  </sheetViews>
  <sheetFormatPr baseColWidth="10" defaultRowHeight="16" x14ac:dyDescent="0.2"/>
  <cols>
    <col min="1" max="1" width="28.6640625" bestFit="1" customWidth="1"/>
    <col min="2" max="2" width="22.33203125" customWidth="1"/>
    <col min="3" max="3" width="17.5" customWidth="1"/>
    <col min="4" max="4" width="20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</v>
      </c>
      <c r="B2" s="2">
        <v>2205</v>
      </c>
      <c r="C2" s="2">
        <v>2556</v>
      </c>
      <c r="D2" s="2">
        <v>2855</v>
      </c>
    </row>
    <row r="3" spans="1:4" x14ac:dyDescent="0.2">
      <c r="A3" t="s">
        <v>9</v>
      </c>
      <c r="B3">
        <v>58</v>
      </c>
      <c r="C3">
        <v>54</v>
      </c>
      <c r="D3">
        <v>64</v>
      </c>
    </row>
    <row r="4" spans="1:4" x14ac:dyDescent="0.2">
      <c r="A4" s="1" t="s">
        <v>4</v>
      </c>
      <c r="B4" s="3">
        <v>2263</v>
      </c>
      <c r="C4" s="3">
        <v>2610</v>
      </c>
      <c r="D4" s="3">
        <v>2919</v>
      </c>
    </row>
    <row r="5" spans="1:4" x14ac:dyDescent="0.2">
      <c r="A5" t="s">
        <v>10</v>
      </c>
      <c r="B5">
        <v>581</v>
      </c>
      <c r="C5">
        <v>618</v>
      </c>
      <c r="D5">
        <v>661</v>
      </c>
    </row>
    <row r="6" spans="1:4" x14ac:dyDescent="0.2">
      <c r="A6" s="1" t="s">
        <v>6</v>
      </c>
      <c r="B6" s="3">
        <v>1682</v>
      </c>
      <c r="C6" s="3">
        <v>1992</v>
      </c>
      <c r="D6" s="3">
        <v>2258</v>
      </c>
    </row>
    <row r="7" spans="1:4" x14ac:dyDescent="0.2">
      <c r="A7" t="s">
        <v>11</v>
      </c>
      <c r="B7">
        <v>656</v>
      </c>
      <c r="C7">
        <v>642</v>
      </c>
      <c r="D7">
        <v>639</v>
      </c>
    </row>
    <row r="8" spans="1:4" x14ac:dyDescent="0.2">
      <c r="A8" t="s">
        <v>12</v>
      </c>
      <c r="B8" s="2">
        <v>1036</v>
      </c>
      <c r="C8">
        <v>965</v>
      </c>
      <c r="D8" s="2">
        <v>1018</v>
      </c>
    </row>
    <row r="9" spans="1:4" x14ac:dyDescent="0.2">
      <c r="A9" t="s">
        <v>13</v>
      </c>
      <c r="B9">
        <v>450</v>
      </c>
      <c r="C9">
        <v>448</v>
      </c>
      <c r="D9">
        <v>448</v>
      </c>
    </row>
    <row r="10" spans="1:4" x14ac:dyDescent="0.2">
      <c r="A10" t="s">
        <v>14</v>
      </c>
      <c r="B10">
        <v>56</v>
      </c>
      <c r="C10">
        <v>11</v>
      </c>
      <c r="D10">
        <v>4</v>
      </c>
    </row>
    <row r="11" spans="1:4" x14ac:dyDescent="0.2">
      <c r="A11" s="1" t="s">
        <v>7</v>
      </c>
      <c r="B11" s="3">
        <v>2198</v>
      </c>
      <c r="C11" s="3">
        <v>2066</v>
      </c>
      <c r="D11" s="3">
        <v>2109</v>
      </c>
    </row>
    <row r="12" spans="1:4" x14ac:dyDescent="0.2">
      <c r="A12" s="1" t="s">
        <v>8</v>
      </c>
      <c r="B12" s="1">
        <v>-516</v>
      </c>
      <c r="C12" s="1">
        <v>-74</v>
      </c>
      <c r="D12" s="1">
        <v>149</v>
      </c>
    </row>
    <row r="13" spans="1:4" x14ac:dyDescent="0.2">
      <c r="A13" s="1" t="s">
        <v>15</v>
      </c>
      <c r="B13" s="1">
        <v>-355</v>
      </c>
      <c r="C13" s="1">
        <v>28</v>
      </c>
      <c r="D13" s="1">
        <v>235</v>
      </c>
    </row>
    <row r="18" spans="1:4" x14ac:dyDescent="0.2">
      <c r="A18" s="1" t="s">
        <v>16</v>
      </c>
      <c r="B18" s="1" t="s">
        <v>1</v>
      </c>
      <c r="C18" s="1" t="s">
        <v>2</v>
      </c>
      <c r="D18" s="1" t="s">
        <v>3</v>
      </c>
    </row>
    <row r="19" spans="1:4" x14ac:dyDescent="0.2">
      <c r="A19" t="s">
        <v>17</v>
      </c>
      <c r="C19" s="4">
        <f>(C4-B4)/B4</f>
        <v>0.15333627927529828</v>
      </c>
      <c r="D19" s="4">
        <f>(D4-C4)/C4</f>
        <v>0.11839080459770115</v>
      </c>
    </row>
    <row r="20" spans="1:4" x14ac:dyDescent="0.2">
      <c r="A20" t="s">
        <v>18</v>
      </c>
      <c r="B20" s="4">
        <f>B6/B4</f>
        <v>0.74326115775519219</v>
      </c>
      <c r="C20" s="4">
        <f>C6/C4</f>
        <v>0.76321839080459775</v>
      </c>
      <c r="D20" s="4">
        <f>D6/D4</f>
        <v>0.7735525865022268</v>
      </c>
    </row>
    <row r="21" spans="1:4" x14ac:dyDescent="0.2">
      <c r="A21" t="s">
        <v>19</v>
      </c>
      <c r="B21" s="4">
        <f>B12/B4</f>
        <v>-0.22801590808661068</v>
      </c>
      <c r="C21" s="4">
        <f>C12/C4</f>
        <v>-2.8352490421455937E-2</v>
      </c>
      <c r="D21" s="4">
        <f>D12/D4</f>
        <v>5.1044878383007877E-2</v>
      </c>
    </row>
    <row r="22" spans="1:4" x14ac:dyDescent="0.2">
      <c r="A22" t="s">
        <v>20</v>
      </c>
      <c r="B22" s="4">
        <f>B11/B4</f>
        <v>0.97127706584180296</v>
      </c>
      <c r="C22" s="4">
        <f>C11/C4</f>
        <v>0.79157088122605368</v>
      </c>
      <c r="D22" s="4">
        <f>D11/D4</f>
        <v>0.72250770811921894</v>
      </c>
    </row>
    <row r="23" spans="1:4" x14ac:dyDescent="0.2">
      <c r="A23" t="s">
        <v>21</v>
      </c>
      <c r="B23" s="4">
        <f>B13/B4</f>
        <v>-0.15687140963323024</v>
      </c>
      <c r="C23" s="4">
        <f>C13/C4</f>
        <v>1.0727969348659003E-2</v>
      </c>
      <c r="D23" s="4">
        <f>D13/D4</f>
        <v>8.0507022953066124E-2</v>
      </c>
    </row>
    <row r="26" spans="1:4" x14ac:dyDescent="0.2">
      <c r="A26" s="1" t="s">
        <v>22</v>
      </c>
      <c r="B26" s="1" t="s">
        <v>1</v>
      </c>
      <c r="C26" s="1" t="s">
        <v>2</v>
      </c>
      <c r="D26" s="1" t="s">
        <v>3</v>
      </c>
    </row>
    <row r="27" spans="1:4" x14ac:dyDescent="0.2">
      <c r="A27" t="s">
        <v>23</v>
      </c>
      <c r="B27" s="4">
        <f>B7/B4</f>
        <v>0.28988068935041977</v>
      </c>
      <c r="C27" s="4">
        <f>C7/C4</f>
        <v>0.24597701149425288</v>
      </c>
      <c r="D27" s="4">
        <f>D7/D4</f>
        <v>0.21891058581706063</v>
      </c>
    </row>
    <row r="28" spans="1:4" x14ac:dyDescent="0.2">
      <c r="A28" t="s">
        <v>24</v>
      </c>
      <c r="B28" s="4">
        <f>B8/B4</f>
        <v>0.45779938135218734</v>
      </c>
      <c r="C28" s="4">
        <f>C8/C4</f>
        <v>0.36973180076628354</v>
      </c>
      <c r="D28" s="4">
        <f>D8/D4</f>
        <v>0.34874957177115451</v>
      </c>
    </row>
    <row r="29" spans="1:4" x14ac:dyDescent="0.2">
      <c r="A29" t="s">
        <v>25</v>
      </c>
      <c r="B29" s="4">
        <f>B9/B4</f>
        <v>0.19885108263367213</v>
      </c>
      <c r="C29" s="4">
        <f>C9/C4</f>
        <v>0.17164750957854405</v>
      </c>
      <c r="D29" s="4">
        <f>D9/D4</f>
        <v>0.15347721822541965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9BA9-044B-EB44-92A4-0884DDA4A651}">
  <dimension ref="A1:D9"/>
  <sheetViews>
    <sheetView tabSelected="1" zoomScale="85" workbookViewId="0">
      <selection activeCell="A17" sqref="A17"/>
    </sheetView>
  </sheetViews>
  <sheetFormatPr baseColWidth="10" defaultRowHeight="16" x14ac:dyDescent="0.2"/>
  <cols>
    <col min="1" max="1" width="38.5" customWidth="1"/>
    <col min="2" max="2" width="89.83203125" bestFit="1" customWidth="1"/>
    <col min="3" max="3" width="42.83203125" bestFit="1" customWidth="1"/>
    <col min="4" max="4" width="79" bestFit="1" customWidth="1"/>
  </cols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 t="s">
        <v>30</v>
      </c>
      <c r="B2" t="s">
        <v>31</v>
      </c>
      <c r="C2" t="s">
        <v>32</v>
      </c>
      <c r="D2" t="s">
        <v>33</v>
      </c>
    </row>
    <row r="3" spans="1:4" x14ac:dyDescent="0.2">
      <c r="A3" t="s">
        <v>34</v>
      </c>
      <c r="B3" t="s">
        <v>35</v>
      </c>
      <c r="C3" t="s">
        <v>36</v>
      </c>
      <c r="D3" t="s">
        <v>37</v>
      </c>
    </row>
    <row r="4" spans="1:4" x14ac:dyDescent="0.2">
      <c r="A4" t="s">
        <v>38</v>
      </c>
      <c r="B4" t="s">
        <v>39</v>
      </c>
      <c r="C4" t="s">
        <v>40</v>
      </c>
      <c r="D4" t="s">
        <v>41</v>
      </c>
    </row>
    <row r="5" spans="1:4" x14ac:dyDescent="0.2">
      <c r="A5" t="s">
        <v>42</v>
      </c>
      <c r="B5" t="s">
        <v>43</v>
      </c>
      <c r="C5" t="s">
        <v>44</v>
      </c>
      <c r="D5" t="s">
        <v>45</v>
      </c>
    </row>
    <row r="6" spans="1:4" x14ac:dyDescent="0.2">
      <c r="A6" t="s">
        <v>46</v>
      </c>
      <c r="B6" t="s">
        <v>47</v>
      </c>
      <c r="C6" t="s">
        <v>48</v>
      </c>
      <c r="D6" t="s">
        <v>49</v>
      </c>
    </row>
    <row r="7" spans="1:4" x14ac:dyDescent="0.2">
      <c r="A7" t="s">
        <v>62</v>
      </c>
      <c r="B7" t="s">
        <v>63</v>
      </c>
      <c r="C7" t="s">
        <v>64</v>
      </c>
      <c r="D7" t="s">
        <v>65</v>
      </c>
    </row>
    <row r="8" spans="1:4" x14ac:dyDescent="0.2">
      <c r="A8" t="s">
        <v>66</v>
      </c>
      <c r="B8" t="s">
        <v>67</v>
      </c>
      <c r="C8" t="s">
        <v>68</v>
      </c>
      <c r="D8" t="s">
        <v>69</v>
      </c>
    </row>
    <row r="9" spans="1:4" x14ac:dyDescent="0.2">
      <c r="A9" t="s">
        <v>70</v>
      </c>
      <c r="B9" t="s">
        <v>71</v>
      </c>
      <c r="C9" t="s">
        <v>72</v>
      </c>
      <c r="D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2CC5-29A9-5940-A66A-E22009F6BF47}">
  <dimension ref="A1:D16"/>
  <sheetViews>
    <sheetView workbookViewId="0">
      <selection activeCell="F13" sqref="F13"/>
    </sheetView>
  </sheetViews>
  <sheetFormatPr baseColWidth="10" defaultRowHeight="16" x14ac:dyDescent="0.2"/>
  <cols>
    <col min="1" max="1" width="23.83203125" bestFit="1" customWidth="1"/>
    <col min="2" max="2" width="15.6640625" customWidth="1"/>
    <col min="3" max="3" width="15" customWidth="1"/>
    <col min="4" max="4" width="16.83203125" customWidth="1"/>
  </cols>
  <sheetData>
    <row r="1" spans="1:4" x14ac:dyDescent="0.2">
      <c r="A1" s="1" t="s">
        <v>50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51</v>
      </c>
      <c r="B2" s="5">
        <v>5908</v>
      </c>
      <c r="C2" s="5">
        <v>5914</v>
      </c>
      <c r="D2" s="5">
        <v>6366</v>
      </c>
    </row>
    <row r="3" spans="1:4" x14ac:dyDescent="0.2">
      <c r="A3" t="s">
        <v>52</v>
      </c>
      <c r="B3" s="5">
        <v>18950</v>
      </c>
      <c r="C3" s="5">
        <v>19650</v>
      </c>
      <c r="D3" s="6" t="s">
        <v>53</v>
      </c>
    </row>
    <row r="4" spans="1:4" x14ac:dyDescent="0.2">
      <c r="A4" t="s">
        <v>54</v>
      </c>
      <c r="B4" s="5">
        <v>4485</v>
      </c>
      <c r="C4" s="5">
        <v>4800</v>
      </c>
      <c r="D4" s="5">
        <v>5100</v>
      </c>
    </row>
    <row r="5" spans="1:4" x14ac:dyDescent="0.2">
      <c r="A5" t="s">
        <v>55</v>
      </c>
      <c r="B5" s="7">
        <v>0.33</v>
      </c>
      <c r="C5" s="7">
        <v>0.38</v>
      </c>
      <c r="D5" s="7">
        <v>0.44</v>
      </c>
    </row>
    <row r="6" spans="1:4" x14ac:dyDescent="0.2">
      <c r="A6" t="s">
        <v>56</v>
      </c>
      <c r="B6" s="7">
        <v>0.67</v>
      </c>
      <c r="C6" s="7">
        <v>0.62</v>
      </c>
      <c r="D6" s="7">
        <v>0.56000000000000005</v>
      </c>
    </row>
    <row r="7" spans="1:4" x14ac:dyDescent="0.2">
      <c r="A7" t="s">
        <v>57</v>
      </c>
      <c r="B7" s="6" t="s">
        <v>58</v>
      </c>
      <c r="C7" s="6" t="s">
        <v>58</v>
      </c>
      <c r="D7" s="6" t="s">
        <v>58</v>
      </c>
    </row>
    <row r="10" spans="1:4" x14ac:dyDescent="0.2">
      <c r="A10" s="1" t="s">
        <v>16</v>
      </c>
      <c r="B10" s="1" t="s">
        <v>1</v>
      </c>
      <c r="C10" s="1" t="s">
        <v>2</v>
      </c>
      <c r="D10" s="1" t="s">
        <v>3</v>
      </c>
    </row>
    <row r="11" spans="1:4" x14ac:dyDescent="0.2">
      <c r="A11" t="s">
        <v>59</v>
      </c>
      <c r="C11" s="4">
        <f>(C2-B2)/B2</f>
        <v>1.015572105619499E-3</v>
      </c>
      <c r="D11" s="4">
        <f>(D2-C2)/C2</f>
        <v>7.6428812986134589E-2</v>
      </c>
    </row>
    <row r="12" spans="1:4" x14ac:dyDescent="0.2">
      <c r="A12" t="s">
        <v>60</v>
      </c>
      <c r="B12" s="8">
        <f>'Company Performance'!B4/'Operational Metrics'!B2</f>
        <v>0.38303994583615436</v>
      </c>
      <c r="C12" s="8">
        <f>'Company Performance'!C4/'Operational Metrics'!C2</f>
        <v>0.44132566790666217</v>
      </c>
      <c r="D12" s="8">
        <f>'Company Performance'!D4/'Operational Metrics'!D2</f>
        <v>0.45852968897266727</v>
      </c>
    </row>
    <row r="13" spans="1:4" x14ac:dyDescent="0.2">
      <c r="A13" t="s">
        <v>61</v>
      </c>
    </row>
    <row r="16" spans="1:4" x14ac:dyDescent="0.2">
      <c r="B16">
        <f>'Operational Metrics'!B8/'Operational Metrics'!B6</f>
        <v>0</v>
      </c>
      <c r="C16">
        <f>'Operational Metrics'!C8/'Operational Metrics'!C6</f>
        <v>0</v>
      </c>
      <c r="D16">
        <f>'Operational Metrics'!D8/'Operational Metrics'!D6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Performance</vt:lpstr>
      <vt:lpstr>Business Drivers </vt:lpstr>
      <vt:lpstr>Operational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A. McMahon</dc:creator>
  <cp:lastModifiedBy>Emily A. McMahon</cp:lastModifiedBy>
  <dcterms:created xsi:type="dcterms:W3CDTF">2026-08-17T17:01:14Z</dcterms:created>
  <dcterms:modified xsi:type="dcterms:W3CDTF">2026-08-17T17:54:04Z</dcterms:modified>
</cp:coreProperties>
</file>